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GST RETURN\AMIT BHAI\2025-26\SEP\"/>
    </mc:Choice>
  </mc:AlternateContent>
  <bookViews>
    <workbookView xWindow="0" yWindow="0" windowWidth="15360" windowHeight="8445"/>
  </bookViews>
  <sheets>
    <sheet name="Sheet1" sheetId="1" r:id="rId1"/>
  </sheets>
  <definedNames>
    <definedName name="_xlnm._FilterDatabase" localSheetId="0" hidden="1">Sheet1!$A$10:$P$44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" i="1" l="1"/>
  <c r="P27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</calcChain>
</file>

<file path=xl/sharedStrings.xml><?xml version="1.0" encoding="utf-8"?>
<sst xmlns="http://schemas.openxmlformats.org/spreadsheetml/2006/main" count="131" uniqueCount="57">
  <si>
    <t>MANTH ENTERPRISE</t>
  </si>
  <si>
    <t>40, MUKTIDHAM ESTATE, NR JIVAAN VADI</t>
  </si>
  <si>
    <t>NIKOL GAM , NIKOL AHMEDABAD</t>
  </si>
  <si>
    <t>Sales A/c</t>
  </si>
  <si>
    <t>Ledger Account</t>
  </si>
  <si>
    <t/>
  </si>
  <si>
    <t>1-Sep-25 to 30-Sep-25</t>
  </si>
  <si>
    <t>Date</t>
  </si>
  <si>
    <t>Particulars</t>
  </si>
  <si>
    <t>Voucher Type</t>
  </si>
  <si>
    <t>Voucher No.</t>
  </si>
  <si>
    <t>GSTIN/UIN</t>
  </si>
  <si>
    <t>Narration</t>
  </si>
  <si>
    <t>Value</t>
  </si>
  <si>
    <t>Gross Total</t>
  </si>
  <si>
    <t>IGST</t>
  </si>
  <si>
    <t>SGST</t>
  </si>
  <si>
    <t>CGST</t>
  </si>
  <si>
    <t>ROUND OFF</t>
  </si>
  <si>
    <t>Tax Invoice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</si>
  <si>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</si>
  <si>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</si>
  <si>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</si>
  <si>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</si>
  <si>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</si>
  <si>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</si>
  <si>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</si>
  <si>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</si>
  <si>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</si>
  <si>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</si>
  <si>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</si>
  <si>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</si>
  <si>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</si>
  <si>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</si>
  <si>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</si>
  <si>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</si>
  <si>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</si>
  <si>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</si>
  <si>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</si>
  <si>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</si>
  <si>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</si>
  <si>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</si>
  <si>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</si>
  <si>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</si>
  <si>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</si>
  <si>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</si>
  <si>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</si>
  <si>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</si>
  <si>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</si>
  <si>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</si>
  <si>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</si>
  <si>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</si>
  <si>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</si>
  <si>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Grand Total</t>
  </si>
  <si>
    <t>JHARKHAND</t>
  </si>
  <si>
    <t>WEST BENGAL</t>
  </si>
  <si>
    <t>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</si>
</sst>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.00"/>
    <numFmt numFmtId="165" formatCode="&quot;&quot;0.00&quot; Dr&quot;"/>
    <numFmt numFmtId="166" formatCode="&quot;&quot;0.00&quot; Cr&quot;"/>
    <numFmt numFmtId="167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5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 wrapText="1"/>
    </xf>
    <xf numFmtId="164" fontId="5" fillId="0" borderId="4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 wrapText="1"/>
    </xf>
    <xf numFmtId="164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0" fillId="0" borderId="0" xfId="0" applyNumberFormat="1"/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tabSelected="1" topLeftCell="A19" workbookViewId="0">
      <selection activeCell="B65" sqref="B65"/>
    </sheetView>
  </sheetViews>
  <sheetFormatPr defaultRowHeight="15" x14ac:dyDescent="0.25"/>
  <cols>
    <col min="1" max="1" width="9.28515625" bestFit="1" customWidth="1"/>
    <col min="2" max="2" width="41.7109375" bestFit="1" customWidth="1"/>
    <col min="3" max="3" width="9.5703125" bestFit="1" customWidth="1"/>
    <col min="4" max="4" width="7.42578125" bestFit="1" customWidth="1"/>
    <col min="5" max="5" width="17.85546875" bestFit="1" customWidth="1"/>
    <col min="6" max="6" width="8.28515625" bestFit="1" customWidth="1"/>
    <col min="7" max="7" width="9.42578125" bestFit="1" customWidth="1"/>
    <col min="8" max="9" width="11.7109375" bestFit="1" customWidth="1"/>
    <col min="10" max="12" width="10.7109375" bestFit="1" customWidth="1"/>
    <col min="13" max="13" width="7.42578125" bestFit="1" customWidth="1"/>
  </cols>
  <sheetData>
    <row r="1" spans="1:16" ht="15.75" x14ac:dyDescent="0.25">
      <c r="A1" s="34" t="s">
        <v>0</v>
      </c>
      <c r="B1" s="34"/>
      <c r="C1" s="34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x14ac:dyDescent="0.25">
      <c r="A2" s="33" t="s">
        <v>1</v>
      </c>
      <c r="B2" s="33"/>
      <c r="C2" s="3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x14ac:dyDescent="0.25">
      <c r="A3" s="33" t="s">
        <v>2</v>
      </c>
      <c r="B3" s="33"/>
      <c r="C3" s="3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6" x14ac:dyDescent="0.25">
      <c r="A4" s="33"/>
      <c r="B4" s="33"/>
      <c r="C4" s="3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6" x14ac:dyDescent="0.25">
      <c r="A5" s="35"/>
      <c r="B5" s="35"/>
      <c r="C5" s="3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6" ht="15.75" x14ac:dyDescent="0.25">
      <c r="A6" s="36" t="s">
        <v>3</v>
      </c>
      <c r="B6" s="36"/>
      <c r="C6" s="36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6" x14ac:dyDescent="0.25">
      <c r="A7" s="33" t="s">
        <v>4</v>
      </c>
      <c r="B7" s="33"/>
      <c r="C7" s="3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6" x14ac:dyDescent="0.25">
      <c r="A8" s="33" t="s">
        <v>5</v>
      </c>
      <c r="B8" s="33"/>
      <c r="C8" s="3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6" x14ac:dyDescent="0.25">
      <c r="A9" s="33" t="s">
        <v>6</v>
      </c>
      <c r="B9" s="33"/>
      <c r="C9" s="33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6" ht="24" x14ac:dyDescent="0.25">
      <c r="A10" s="2" t="s">
        <v>7</v>
      </c>
      <c r="B10" s="3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3</v>
      </c>
      <c r="J10" s="2" t="s">
        <v>15</v>
      </c>
      <c r="K10" s="2" t="s">
        <v>16</v>
      </c>
      <c r="L10" s="2" t="s">
        <v>17</v>
      </c>
      <c r="M10" s="2" t="s">
        <v>18</v>
      </c>
    </row>
    <row r="11" spans="1:16" x14ac:dyDescent="0.25">
      <c r="A11" s="4">
        <v>45901</v>
      </c>
      <c r="B11" s="5"/>
      <c r="C11" s="6" t="s">
        <v>19</v>
      </c>
      <c r="D11" s="7" t="s">
        <v>20</v>
      </c>
      <c r="E11" s="6"/>
      <c r="F11" s="8" t="s">
        <v>5</v>
      </c>
      <c r="G11" s="9">
        <v>22200</v>
      </c>
      <c r="H11" s="10">
        <v>26196</v>
      </c>
      <c r="I11" s="11">
        <v>22200</v>
      </c>
      <c r="J11" s="11">
        <v>3996</v>
      </c>
      <c r="K11" s="12"/>
      <c r="L11" s="12"/>
      <c r="M11" s="12"/>
      <c r="O11">
        <f>I11*18%</f>
        <v>3996</v>
      </c>
      <c r="P11" s="32">
        <f>O11-J11</f>
        <v>0</v>
      </c>
    </row>
    <row r="12" spans="1:16" x14ac:dyDescent="0.25">
      <c r="A12" s="13">
        <v>45902</v>
      </c>
      <c r="B12" s="14"/>
      <c r="C12" s="15" t="s">
        <v>19</v>
      </c>
      <c r="D12" s="16" t="s">
        <v>21</v>
      </c>
      <c r="E12" s="15"/>
      <c r="F12" s="17" t="s">
        <v>5</v>
      </c>
      <c r="G12" s="18">
        <v>67500</v>
      </c>
      <c r="H12" s="19">
        <v>79650</v>
      </c>
      <c r="I12" s="20">
        <v>67500</v>
      </c>
      <c r="J12" s="21"/>
      <c r="K12" s="20">
        <v>6075</v>
      </c>
      <c r="L12" s="20">
        <v>6075</v>
      </c>
      <c r="M12" s="21"/>
      <c r="O12">
        <f t="shared" ref="O12:O43" si="0">I12*18%</f>
        <v>12150</v>
      </c>
      <c r="P12" s="32">
        <f>O12-L12-K12</f>
        <v>0</v>
      </c>
    </row>
    <row r="13" spans="1:16" x14ac:dyDescent="0.25">
      <c r="A13" s="13">
        <v>45902</v>
      </c>
      <c r="B13" s="14"/>
      <c r="C13" s="15" t="s">
        <v>19</v>
      </c>
      <c r="D13" s="16" t="s">
        <v>22</v>
      </c>
      <c r="E13" s="15"/>
      <c r="F13" s="17" t="s">
        <v>5</v>
      </c>
      <c r="G13" s="18">
        <v>11685</v>
      </c>
      <c r="H13" s="19">
        <v>13788</v>
      </c>
      <c r="I13" s="20">
        <v>11685</v>
      </c>
      <c r="J13" s="20">
        <v>2103.3000000000002</v>
      </c>
      <c r="K13" s="21"/>
      <c r="L13" s="21"/>
      <c r="M13" s="22">
        <v>0.3</v>
      </c>
      <c r="O13">
        <f t="shared" si="0"/>
        <v>2103.2999999999997</v>
      </c>
      <c r="P13" s="32">
        <f t="shared" ref="P13:P43" si="1">O13-J13</f>
        <v>0</v>
      </c>
    </row>
    <row r="14" spans="1:16" x14ac:dyDescent="0.25">
      <c r="A14" s="13">
        <v>45903</v>
      </c>
      <c r="B14" s="14"/>
      <c r="C14" s="15" t="s">
        <v>19</v>
      </c>
      <c r="D14" s="16" t="s">
        <v>23</v>
      </c>
      <c r="E14" s="15"/>
      <c r="F14" s="17" t="s">
        <v>5</v>
      </c>
      <c r="G14" s="18">
        <v>10200</v>
      </c>
      <c r="H14" s="19">
        <v>12000</v>
      </c>
      <c r="I14" s="20">
        <v>10200</v>
      </c>
      <c r="J14" s="20">
        <v>1800</v>
      </c>
      <c r="K14" s="21"/>
      <c r="L14" s="21"/>
      <c r="M14" s="21"/>
      <c r="O14">
        <f t="shared" si="0"/>
        <v>1836</v>
      </c>
      <c r="P14" s="32">
        <f t="shared" si="1"/>
        <v>36</v>
      </c>
    </row>
    <row r="15" spans="1:16" x14ac:dyDescent="0.25">
      <c r="A15" s="13">
        <v>45903</v>
      </c>
      <c r="B15" s="14"/>
      <c r="C15" s="15" t="s">
        <v>19</v>
      </c>
      <c r="D15" s="16" t="s">
        <v>24</v>
      </c>
      <c r="E15" s="15"/>
      <c r="F15" s="17" t="s">
        <v>5</v>
      </c>
      <c r="G15" s="18">
        <v>2373</v>
      </c>
      <c r="H15" s="19">
        <v>2800</v>
      </c>
      <c r="I15" s="20">
        <v>2373</v>
      </c>
      <c r="J15" s="20">
        <v>427.14</v>
      </c>
      <c r="K15" s="21"/>
      <c r="L15" s="21"/>
      <c r="M15" s="22">
        <v>0.14000000000000001</v>
      </c>
      <c r="O15">
        <f t="shared" si="0"/>
        <v>427.14</v>
      </c>
      <c r="P15" s="32">
        <f t="shared" si="1"/>
        <v>0</v>
      </c>
    </row>
    <row r="16" spans="1:16" x14ac:dyDescent="0.25">
      <c r="A16" s="13">
        <v>45904</v>
      </c>
      <c r="B16" s="14"/>
      <c r="C16" s="15" t="s">
        <v>19</v>
      </c>
      <c r="D16" s="16" t="s">
        <v>25</v>
      </c>
      <c r="E16" s="15"/>
      <c r="F16" s="17" t="s">
        <v>5</v>
      </c>
      <c r="G16" s="18">
        <v>1000</v>
      </c>
      <c r="H16" s="19">
        <v>1180</v>
      </c>
      <c r="I16" s="20">
        <v>1000</v>
      </c>
      <c r="J16" s="20">
        <v>180</v>
      </c>
      <c r="K16" s="21"/>
      <c r="L16" s="21"/>
      <c r="M16" s="21"/>
      <c r="N16" t="s">
        <v>54</v>
      </c>
      <c r="O16">
        <f t="shared" si="0"/>
        <v>180</v>
      </c>
      <c r="P16" s="32">
        <f t="shared" si="1"/>
        <v>0</v>
      </c>
    </row>
    <row r="17" spans="1:16" x14ac:dyDescent="0.25">
      <c r="A17" s="13">
        <v>45904</v>
      </c>
      <c r="B17" s="14"/>
      <c r="C17" s="15" t="s">
        <v>19</v>
      </c>
      <c r="D17" s="16" t="s">
        <v>26</v>
      </c>
      <c r="E17" s="15"/>
      <c r="F17" s="17" t="s">
        <v>5</v>
      </c>
      <c r="G17" s="18">
        <v>45000</v>
      </c>
      <c r="H17" s="19">
        <v>53100</v>
      </c>
      <c r="I17" s="20">
        <v>45000</v>
      </c>
      <c r="J17" s="21"/>
      <c r="K17" s="20">
        <v>4050</v>
      </c>
      <c r="L17" s="20">
        <v>4050</v>
      </c>
      <c r="M17" s="21"/>
      <c r="O17">
        <f t="shared" si="0"/>
        <v>8100</v>
      </c>
      <c r="P17" s="32">
        <f>O17-L17-K17</f>
        <v>0</v>
      </c>
    </row>
    <row r="18" spans="1:16" x14ac:dyDescent="0.25">
      <c r="A18" s="13">
        <v>45905</v>
      </c>
      <c r="B18" s="14"/>
      <c r="C18" s="15" t="s">
        <v>19</v>
      </c>
      <c r="D18" s="16" t="s">
        <v>27</v>
      </c>
      <c r="E18" s="15"/>
      <c r="F18" s="17" t="s">
        <v>5</v>
      </c>
      <c r="G18" s="18">
        <v>1040</v>
      </c>
      <c r="H18" s="19">
        <v>1227</v>
      </c>
      <c r="I18" s="20">
        <v>1040</v>
      </c>
      <c r="J18" s="20">
        <v>187.2</v>
      </c>
      <c r="K18" s="21"/>
      <c r="L18" s="21"/>
      <c r="M18" s="22">
        <v>0.2</v>
      </c>
      <c r="O18">
        <f t="shared" si="0"/>
        <v>187.2</v>
      </c>
      <c r="P18" s="32">
        <f t="shared" si="1"/>
        <v>0</v>
      </c>
    </row>
    <row r="19" spans="1:16" x14ac:dyDescent="0.25">
      <c r="A19" s="13">
        <v>45905</v>
      </c>
      <c r="B19" s="14"/>
      <c r="C19" s="15" t="s">
        <v>19</v>
      </c>
      <c r="D19" s="16" t="s">
        <v>28</v>
      </c>
      <c r="E19" s="15"/>
      <c r="F19" s="17" t="s">
        <v>5</v>
      </c>
      <c r="G19" s="18">
        <v>40800</v>
      </c>
      <c r="H19" s="19">
        <v>48144</v>
      </c>
      <c r="I19" s="20">
        <v>40800</v>
      </c>
      <c r="J19" s="20">
        <v>7344</v>
      </c>
      <c r="K19" s="21"/>
      <c r="L19" s="21"/>
      <c r="M19" s="21"/>
      <c r="O19">
        <f t="shared" si="0"/>
        <v>7344</v>
      </c>
      <c r="P19" s="32">
        <f t="shared" si="1"/>
        <v>0</v>
      </c>
    </row>
    <row r="20" spans="1:16" x14ac:dyDescent="0.25">
      <c r="A20" s="13">
        <v>45905</v>
      </c>
      <c r="B20" s="14"/>
      <c r="C20" s="15" t="s">
        <v>19</v>
      </c>
      <c r="D20" s="16" t="s">
        <v>29</v>
      </c>
      <c r="E20" s="15"/>
      <c r="F20" s="17" t="s">
        <v>5</v>
      </c>
      <c r="G20" s="18">
        <v>9090</v>
      </c>
      <c r="H20" s="19">
        <v>10726</v>
      </c>
      <c r="I20" s="20">
        <v>9090</v>
      </c>
      <c r="J20" s="20">
        <v>1636.2</v>
      </c>
      <c r="K20" s="21"/>
      <c r="L20" s="21"/>
      <c r="M20" s="22">
        <v>0.2</v>
      </c>
      <c r="O20">
        <f t="shared" si="0"/>
        <v>1636.2</v>
      </c>
      <c r="P20" s="32">
        <f t="shared" si="1"/>
        <v>0</v>
      </c>
    </row>
    <row r="21" spans="1:16" x14ac:dyDescent="0.25">
      <c r="A21" s="13">
        <v>45906</v>
      </c>
      <c r="B21" s="14"/>
      <c r="C21" s="15" t="s">
        <v>19</v>
      </c>
      <c r="D21" s="16" t="s">
        <v>30</v>
      </c>
      <c r="E21" s="15"/>
      <c r="F21" s="17" t="s">
        <v>5</v>
      </c>
      <c r="G21" s="18">
        <v>36000</v>
      </c>
      <c r="H21" s="19">
        <v>42480</v>
      </c>
      <c r="I21" s="20">
        <v>36000</v>
      </c>
      <c r="J21" s="20">
        <v>6480</v>
      </c>
      <c r="K21" s="21"/>
      <c r="L21" s="21"/>
      <c r="M21" s="21"/>
      <c r="O21">
        <f t="shared" si="0"/>
        <v>6480</v>
      </c>
      <c r="P21" s="32">
        <f t="shared" si="1"/>
        <v>0</v>
      </c>
    </row>
    <row r="22" spans="1:16" x14ac:dyDescent="0.25">
      <c r="A22" s="13">
        <v>45906</v>
      </c>
      <c r="B22" s="14"/>
      <c r="C22" s="15" t="s">
        <v>19</v>
      </c>
      <c r="D22" s="16" t="s">
        <v>31</v>
      </c>
      <c r="E22" s="15"/>
      <c r="F22" s="17" t="s">
        <v>5</v>
      </c>
      <c r="G22" s="18">
        <v>10400</v>
      </c>
      <c r="H22" s="19">
        <v>12272</v>
      </c>
      <c r="I22" s="20">
        <v>10400</v>
      </c>
      <c r="J22" s="20">
        <v>1872</v>
      </c>
      <c r="K22" s="21"/>
      <c r="L22" s="21"/>
      <c r="M22" s="21"/>
      <c r="N22" t="s">
        <v>54</v>
      </c>
      <c r="O22">
        <f t="shared" si="0"/>
        <v>1872</v>
      </c>
      <c r="P22" s="32">
        <f t="shared" si="1"/>
        <v>0</v>
      </c>
    </row>
    <row r="23" spans="1:16" x14ac:dyDescent="0.25">
      <c r="A23" s="13">
        <v>45909</v>
      </c>
      <c r="B23" s="14"/>
      <c r="C23" s="15" t="s">
        <v>19</v>
      </c>
      <c r="D23" s="16" t="s">
        <v>32</v>
      </c>
      <c r="E23" s="15"/>
      <c r="F23" s="17" t="s">
        <v>5</v>
      </c>
      <c r="G23" s="18">
        <v>1700</v>
      </c>
      <c r="H23" s="19">
        <v>2006</v>
      </c>
      <c r="I23" s="20">
        <v>1700</v>
      </c>
      <c r="J23" s="20">
        <v>306</v>
      </c>
      <c r="K23" s="21"/>
      <c r="L23" s="21"/>
      <c r="M23" s="21"/>
      <c r="O23">
        <f t="shared" si="0"/>
        <v>306</v>
      </c>
      <c r="P23" s="32">
        <f t="shared" si="1"/>
        <v>0</v>
      </c>
    </row>
    <row r="24" spans="1:16" x14ac:dyDescent="0.25">
      <c r="A24" s="13">
        <v>45911</v>
      </c>
      <c r="B24" s="14"/>
      <c r="C24" s="15" t="s">
        <v>19</v>
      </c>
      <c r="D24" s="16" t="s">
        <v>33</v>
      </c>
      <c r="E24" s="15"/>
      <c r="F24" s="17" t="s">
        <v>5</v>
      </c>
      <c r="G24" s="18">
        <v>3920</v>
      </c>
      <c r="H24" s="19">
        <v>4626</v>
      </c>
      <c r="I24" s="20">
        <v>3920</v>
      </c>
      <c r="J24" s="20">
        <v>705.6</v>
      </c>
      <c r="K24" s="21"/>
      <c r="L24" s="21"/>
      <c r="M24" s="20">
        <v>0.4</v>
      </c>
      <c r="N24" t="s">
        <v>55</v>
      </c>
      <c r="O24">
        <f t="shared" si="0"/>
        <v>705.6</v>
      </c>
      <c r="P24" s="32">
        <f t="shared" si="1"/>
        <v>0</v>
      </c>
    </row>
    <row r="25" spans="1:16" x14ac:dyDescent="0.25">
      <c r="A25" s="13">
        <v>45912</v>
      </c>
      <c r="B25" s="14"/>
      <c r="C25" s="15" t="s">
        <v>19</v>
      </c>
      <c r="D25" s="16" t="s">
        <v>34</v>
      </c>
      <c r="E25" s="15"/>
      <c r="F25" s="17" t="s">
        <v>5</v>
      </c>
      <c r="G25" s="18">
        <v>7400</v>
      </c>
      <c r="H25" s="19">
        <v>8732</v>
      </c>
      <c r="I25" s="20">
        <v>7400</v>
      </c>
      <c r="J25" s="20">
        <v>1332</v>
      </c>
      <c r="K25" s="21"/>
      <c r="L25" s="21"/>
      <c r="M25" s="21"/>
      <c r="N25" t="s">
        <v>54</v>
      </c>
      <c r="O25">
        <f t="shared" si="0"/>
        <v>1332</v>
      </c>
      <c r="P25" s="32">
        <f t="shared" si="1"/>
        <v>0</v>
      </c>
    </row>
    <row r="26" spans="1:16" x14ac:dyDescent="0.25">
      <c r="A26" s="13">
        <v>45912</v>
      </c>
      <c r="B26" s="14"/>
      <c r="C26" s="15" t="s">
        <v>19</v>
      </c>
      <c r="D26" s="16" t="s">
        <v>35</v>
      </c>
      <c r="E26" s="15"/>
      <c r="F26" s="17" t="s">
        <v>5</v>
      </c>
      <c r="G26" s="18">
        <v>2550</v>
      </c>
      <c r="H26" s="19">
        <v>3009</v>
      </c>
      <c r="I26" s="20">
        <v>2550</v>
      </c>
      <c r="J26" s="20">
        <v>459</v>
      </c>
      <c r="K26" s="21"/>
      <c r="L26" s="21"/>
      <c r="M26" s="21"/>
      <c r="O26">
        <f t="shared" si="0"/>
        <v>459</v>
      </c>
      <c r="P26" s="32">
        <f t="shared" si="1"/>
        <v>0</v>
      </c>
    </row>
    <row r="27" spans="1:16" x14ac:dyDescent="0.25">
      <c r="A27" s="13">
        <v>45913</v>
      </c>
      <c r="B27" s="14"/>
      <c r="C27" s="15" t="s">
        <v>19</v>
      </c>
      <c r="D27" s="16" t="s">
        <v>36</v>
      </c>
      <c r="E27" s="15"/>
      <c r="F27" s="17" t="s">
        <v>5</v>
      </c>
      <c r="G27" s="18">
        <v>15200</v>
      </c>
      <c r="H27" s="19">
        <v>17000</v>
      </c>
      <c r="I27" s="20">
        <v>15000</v>
      </c>
      <c r="J27" s="21"/>
      <c r="K27" s="20">
        <v>900</v>
      </c>
      <c r="L27" s="20">
        <v>900</v>
      </c>
      <c r="M27" s="21"/>
      <c r="O27">
        <f>I27*12%</f>
        <v>1800</v>
      </c>
      <c r="P27" s="32">
        <f>O27-L27-K27</f>
        <v>0</v>
      </c>
    </row>
    <row r="28" spans="1:16" x14ac:dyDescent="0.25">
      <c r="A28" s="13">
        <v>45913</v>
      </c>
      <c r="B28" s="14"/>
      <c r="C28" s="15" t="s">
        <v>19</v>
      </c>
      <c r="D28" s="16" t="s">
        <v>37</v>
      </c>
      <c r="E28" s="15"/>
      <c r="F28" s="17" t="s">
        <v>5</v>
      </c>
      <c r="G28" s="18">
        <v>22000</v>
      </c>
      <c r="H28" s="19">
        <v>25960</v>
      </c>
      <c r="I28" s="20">
        <v>22000</v>
      </c>
      <c r="J28" s="20">
        <v>3960</v>
      </c>
      <c r="K28" s="21"/>
      <c r="L28" s="21"/>
      <c r="M28" s="21"/>
      <c r="O28">
        <f t="shared" si="0"/>
        <v>3960</v>
      </c>
      <c r="P28" s="32">
        <f t="shared" si="1"/>
        <v>0</v>
      </c>
    </row>
    <row r="29" spans="1:16" x14ac:dyDescent="0.25">
      <c r="A29" s="13">
        <v>45913</v>
      </c>
      <c r="B29" s="14"/>
      <c r="C29" s="15" t="s">
        <v>19</v>
      </c>
      <c r="D29" s="16" t="s">
        <v>38</v>
      </c>
      <c r="E29" s="15"/>
      <c r="F29" s="17" t="s">
        <v>5</v>
      </c>
      <c r="G29" s="18">
        <v>7200</v>
      </c>
      <c r="H29" s="19">
        <v>8496</v>
      </c>
      <c r="I29" s="20">
        <v>7200</v>
      </c>
      <c r="J29" s="20">
        <v>1296</v>
      </c>
      <c r="K29" s="21"/>
      <c r="L29" s="21"/>
      <c r="M29" s="21"/>
      <c r="O29">
        <f t="shared" si="0"/>
        <v>1296</v>
      </c>
      <c r="P29" s="32">
        <f t="shared" si="1"/>
        <v>0</v>
      </c>
    </row>
    <row r="30" spans="1:16" x14ac:dyDescent="0.25">
      <c r="A30" s="13">
        <v>45915</v>
      </c>
      <c r="B30" s="14"/>
      <c r="C30" s="15" t="s">
        <v>19</v>
      </c>
      <c r="D30" s="16" t="s">
        <v>39</v>
      </c>
      <c r="E30" s="15"/>
      <c r="F30" s="17" t="s">
        <v>5</v>
      </c>
      <c r="G30" s="18">
        <v>11000</v>
      </c>
      <c r="H30" s="19">
        <v>12980</v>
      </c>
      <c r="I30" s="20">
        <v>11000</v>
      </c>
      <c r="J30" s="20">
        <v>1980</v>
      </c>
      <c r="K30" s="21"/>
      <c r="L30" s="21"/>
      <c r="M30" s="21"/>
      <c r="O30">
        <f t="shared" si="0"/>
        <v>1980</v>
      </c>
      <c r="P30" s="32">
        <f t="shared" si="1"/>
        <v>0</v>
      </c>
    </row>
    <row r="31" spans="1:16" x14ac:dyDescent="0.25">
      <c r="A31" s="13">
        <v>45916</v>
      </c>
      <c r="B31" s="14"/>
      <c r="C31" s="15" t="s">
        <v>19</v>
      </c>
      <c r="D31" s="16" t="s">
        <v>40</v>
      </c>
      <c r="E31" s="15"/>
      <c r="F31" s="17" t="s">
        <v>5</v>
      </c>
      <c r="G31" s="18">
        <v>4200</v>
      </c>
      <c r="H31" s="19">
        <v>4956</v>
      </c>
      <c r="I31" s="20">
        <v>4200</v>
      </c>
      <c r="J31" s="20">
        <v>756</v>
      </c>
      <c r="K31" s="21"/>
      <c r="L31" s="21"/>
      <c r="M31" s="21"/>
      <c r="O31">
        <f t="shared" si="0"/>
        <v>756</v>
      </c>
      <c r="P31" s="32">
        <f t="shared" si="1"/>
        <v>0</v>
      </c>
    </row>
    <row r="32" spans="1:16" x14ac:dyDescent="0.25">
      <c r="A32" s="13">
        <v>45916</v>
      </c>
      <c r="B32" s="14"/>
      <c r="C32" s="15" t="s">
        <v>19</v>
      </c>
      <c r="D32" s="16" t="s">
        <v>41</v>
      </c>
      <c r="E32" s="15"/>
      <c r="F32" s="17" t="s">
        <v>5</v>
      </c>
      <c r="G32" s="18">
        <v>1600</v>
      </c>
      <c r="H32" s="19">
        <v>1888</v>
      </c>
      <c r="I32" s="20">
        <v>1600</v>
      </c>
      <c r="J32" s="20">
        <v>288</v>
      </c>
      <c r="K32" s="21"/>
      <c r="L32" s="21"/>
      <c r="M32" s="21"/>
      <c r="O32">
        <f t="shared" si="0"/>
        <v>288</v>
      </c>
      <c r="P32" s="32">
        <f t="shared" si="1"/>
        <v>0</v>
      </c>
    </row>
    <row r="33" spans="1:16" x14ac:dyDescent="0.25">
      <c r="A33" s="13">
        <v>45919</v>
      </c>
      <c r="B33" s="14"/>
      <c r="C33" s="15" t="s">
        <v>19</v>
      </c>
      <c r="D33" s="16" t="s">
        <v>42</v>
      </c>
      <c r="E33" s="15"/>
      <c r="F33" s="17" t="s">
        <v>5</v>
      </c>
      <c r="G33" s="18">
        <v>5200</v>
      </c>
      <c r="H33" s="19">
        <v>6136</v>
      </c>
      <c r="I33" s="20">
        <v>5200</v>
      </c>
      <c r="J33" s="20">
        <v>936</v>
      </c>
      <c r="K33" s="21"/>
      <c r="L33" s="21"/>
      <c r="M33" s="21"/>
      <c r="O33">
        <f t="shared" si="0"/>
        <v>936</v>
      </c>
      <c r="P33" s="32">
        <f t="shared" si="1"/>
        <v>0</v>
      </c>
    </row>
    <row r="34" spans="1:16" x14ac:dyDescent="0.25">
      <c r="A34" s="13">
        <v>45920</v>
      </c>
      <c r="B34" s="14"/>
      <c r="C34" s="15" t="s">
        <v>19</v>
      </c>
      <c r="D34" s="16" t="s">
        <v>43</v>
      </c>
      <c r="E34" s="15"/>
      <c r="F34" s="17" t="s">
        <v>5</v>
      </c>
      <c r="G34" s="18">
        <v>16160</v>
      </c>
      <c r="H34" s="19">
        <v>19069</v>
      </c>
      <c r="I34" s="20">
        <v>16160</v>
      </c>
      <c r="J34" s="20">
        <v>2908.8</v>
      </c>
      <c r="K34" s="21"/>
      <c r="L34" s="21"/>
      <c r="M34" s="20">
        <v>0.2</v>
      </c>
      <c r="N34" t="s">
        <v>54</v>
      </c>
      <c r="O34">
        <f t="shared" si="0"/>
        <v>2908.7999999999997</v>
      </c>
      <c r="P34" s="32">
        <f t="shared" si="1"/>
        <v>0</v>
      </c>
    </row>
    <row r="35" spans="1:16" x14ac:dyDescent="0.25">
      <c r="A35" s="13">
        <v>45923</v>
      </c>
      <c r="B35" s="14"/>
      <c r="C35" s="15" t="s">
        <v>19</v>
      </c>
      <c r="D35" s="16" t="s">
        <v>44</v>
      </c>
      <c r="E35" s="15"/>
      <c r="F35" s="17" t="s">
        <v>5</v>
      </c>
      <c r="G35" s="18">
        <v>10400</v>
      </c>
      <c r="H35" s="19">
        <v>12272</v>
      </c>
      <c r="I35" s="20">
        <v>10400</v>
      </c>
      <c r="J35" s="20">
        <v>1872</v>
      </c>
      <c r="K35" s="21"/>
      <c r="L35" s="21"/>
      <c r="M35" s="21"/>
      <c r="N35" t="s">
        <v>54</v>
      </c>
      <c r="O35">
        <f t="shared" si="0"/>
        <v>1872</v>
      </c>
      <c r="P35" s="32">
        <f t="shared" si="1"/>
        <v>0</v>
      </c>
    </row>
    <row r="36" spans="1:16" x14ac:dyDescent="0.25">
      <c r="A36" s="13">
        <v>45924</v>
      </c>
      <c r="B36" s="14"/>
      <c r="C36" s="15" t="s">
        <v>19</v>
      </c>
      <c r="D36" s="16" t="s">
        <v>45</v>
      </c>
      <c r="E36" s="15"/>
      <c r="F36" s="17" t="s">
        <v>5</v>
      </c>
      <c r="G36" s="18">
        <v>43500</v>
      </c>
      <c r="H36" s="19">
        <v>51330</v>
      </c>
      <c r="I36" s="20">
        <v>43500</v>
      </c>
      <c r="J36" s="20">
        <v>7830</v>
      </c>
      <c r="K36" s="21"/>
      <c r="L36" s="21"/>
      <c r="M36" s="21"/>
      <c r="O36">
        <f t="shared" si="0"/>
        <v>7830</v>
      </c>
      <c r="P36" s="32">
        <f t="shared" si="1"/>
        <v>0</v>
      </c>
    </row>
    <row r="37" spans="1:16" x14ac:dyDescent="0.25">
      <c r="A37" s="13">
        <v>45924</v>
      </c>
      <c r="B37" s="14"/>
      <c r="C37" s="15" t="s">
        <v>19</v>
      </c>
      <c r="D37" s="16" t="s">
        <v>46</v>
      </c>
      <c r="E37" s="15"/>
      <c r="F37" s="17" t="s">
        <v>5</v>
      </c>
      <c r="G37" s="18">
        <v>2400</v>
      </c>
      <c r="H37" s="19">
        <v>2832</v>
      </c>
      <c r="I37" s="20">
        <v>2400</v>
      </c>
      <c r="J37" s="20">
        <v>432</v>
      </c>
      <c r="K37" s="21"/>
      <c r="L37" s="21"/>
      <c r="M37" s="21"/>
      <c r="O37">
        <f t="shared" si="0"/>
        <v>432</v>
      </c>
      <c r="P37" s="32">
        <f t="shared" si="1"/>
        <v>0</v>
      </c>
    </row>
    <row r="38" spans="1:16" x14ac:dyDescent="0.25">
      <c r="A38" s="13">
        <v>45925</v>
      </c>
      <c r="B38" s="14"/>
      <c r="C38" s="15" t="s">
        <v>19</v>
      </c>
      <c r="D38" s="16" t="s">
        <v>47</v>
      </c>
      <c r="E38" s="15"/>
      <c r="F38" s="17" t="s">
        <v>5</v>
      </c>
      <c r="G38" s="18">
        <v>2800</v>
      </c>
      <c r="H38" s="19">
        <v>3304</v>
      </c>
      <c r="I38" s="20">
        <v>2800</v>
      </c>
      <c r="J38" s="20">
        <v>504</v>
      </c>
      <c r="K38" s="21"/>
      <c r="L38" s="21"/>
      <c r="M38" s="21"/>
      <c r="N38" t="s">
        <v>56</v>
      </c>
      <c r="O38">
        <f t="shared" si="0"/>
        <v>504</v>
      </c>
      <c r="P38" s="32">
        <f t="shared" si="1"/>
        <v>0</v>
      </c>
    </row>
    <row r="39" spans="1:16" x14ac:dyDescent="0.25">
      <c r="A39" s="13">
        <v>45926</v>
      </c>
      <c r="B39" s="14"/>
      <c r="C39" s="15" t="s">
        <v>19</v>
      </c>
      <c r="D39" s="16" t="s">
        <v>48</v>
      </c>
      <c r="E39" s="15"/>
      <c r="F39" s="17" t="s">
        <v>5</v>
      </c>
      <c r="G39" s="18">
        <v>4000</v>
      </c>
      <c r="H39" s="19">
        <v>4720</v>
      </c>
      <c r="I39" s="20">
        <v>4000</v>
      </c>
      <c r="J39" s="20">
        <v>720</v>
      </c>
      <c r="K39" s="21"/>
      <c r="L39" s="21"/>
      <c r="M39" s="21"/>
      <c r="O39">
        <f t="shared" si="0"/>
        <v>720</v>
      </c>
      <c r="P39" s="32">
        <f t="shared" si="1"/>
        <v>0</v>
      </c>
    </row>
    <row r="40" spans="1:16" x14ac:dyDescent="0.25">
      <c r="A40" s="13">
        <v>45927</v>
      </c>
      <c r="B40" s="14"/>
      <c r="C40" s="15" t="s">
        <v>19</v>
      </c>
      <c r="D40" s="16" t="s">
        <v>49</v>
      </c>
      <c r="E40" s="15"/>
      <c r="F40" s="17" t="s">
        <v>5</v>
      </c>
      <c r="G40" s="18">
        <v>7480</v>
      </c>
      <c r="H40" s="19">
        <v>8826</v>
      </c>
      <c r="I40" s="20">
        <v>7480</v>
      </c>
      <c r="J40" s="20">
        <v>1346.4</v>
      </c>
      <c r="K40" s="21"/>
      <c r="L40" s="21"/>
      <c r="M40" s="22">
        <v>0.4</v>
      </c>
      <c r="O40">
        <f t="shared" si="0"/>
        <v>1346.3999999999999</v>
      </c>
      <c r="P40" s="32">
        <f t="shared" si="1"/>
        <v>0</v>
      </c>
    </row>
    <row r="41" spans="1:16" x14ac:dyDescent="0.25">
      <c r="A41" s="13">
        <v>45929</v>
      </c>
      <c r="B41" s="14"/>
      <c r="C41" s="15" t="s">
        <v>19</v>
      </c>
      <c r="D41" s="16" t="s">
        <v>50</v>
      </c>
      <c r="E41" s="15"/>
      <c r="F41" s="17" t="s">
        <v>5</v>
      </c>
      <c r="G41" s="18">
        <v>14400</v>
      </c>
      <c r="H41" s="19">
        <v>16992</v>
      </c>
      <c r="I41" s="20">
        <v>14400</v>
      </c>
      <c r="J41" s="20">
        <v>2592</v>
      </c>
      <c r="K41" s="21"/>
      <c r="L41" s="21"/>
      <c r="M41" s="21"/>
      <c r="O41">
        <f t="shared" si="0"/>
        <v>2592</v>
      </c>
      <c r="P41" s="32">
        <f t="shared" si="1"/>
        <v>0</v>
      </c>
    </row>
    <row r="42" spans="1:16" x14ac:dyDescent="0.25">
      <c r="A42" s="13">
        <v>45930</v>
      </c>
      <c r="B42" s="14"/>
      <c r="C42" s="15" t="s">
        <v>19</v>
      </c>
      <c r="D42" s="16" t="s">
        <v>51</v>
      </c>
      <c r="E42" s="15"/>
      <c r="F42" s="17" t="s">
        <v>5</v>
      </c>
      <c r="G42" s="18">
        <v>13500</v>
      </c>
      <c r="H42" s="19">
        <v>15930</v>
      </c>
      <c r="I42" s="20">
        <v>13500</v>
      </c>
      <c r="J42" s="20">
        <v>2430</v>
      </c>
      <c r="K42" s="21"/>
      <c r="L42" s="21"/>
      <c r="M42" s="21"/>
      <c r="O42">
        <f t="shared" si="0"/>
        <v>2430</v>
      </c>
      <c r="P42" s="32">
        <f t="shared" si="1"/>
        <v>0</v>
      </c>
    </row>
    <row r="43" spans="1:16" x14ac:dyDescent="0.25">
      <c r="A43" s="13">
        <v>45930</v>
      </c>
      <c r="B43" s="14"/>
      <c r="C43" s="15" t="s">
        <v>19</v>
      </c>
      <c r="D43" s="16" t="s">
        <v>52</v>
      </c>
      <c r="E43" s="15"/>
      <c r="F43" s="17" t="s">
        <v>5</v>
      </c>
      <c r="G43" s="18">
        <v>10000</v>
      </c>
      <c r="H43" s="19">
        <v>11800</v>
      </c>
      <c r="I43" s="20">
        <v>10000</v>
      </c>
      <c r="J43" s="20">
        <v>1800</v>
      </c>
      <c r="K43" s="21"/>
      <c r="L43" s="21"/>
      <c r="M43" s="21"/>
      <c r="O43">
        <f t="shared" si="0"/>
        <v>1800</v>
      </c>
      <c r="P43" s="32">
        <f t="shared" si="1"/>
        <v>0</v>
      </c>
    </row>
    <row r="44" spans="1:16" x14ac:dyDescent="0.25">
      <c r="A44" s="23"/>
      <c r="B44" s="24" t="s">
        <v>53</v>
      </c>
      <c r="C44" s="25" t="s">
        <v>5</v>
      </c>
      <c r="D44" s="26" t="s">
        <v>5</v>
      </c>
      <c r="E44" s="25" t="s">
        <v>5</v>
      </c>
      <c r="F44" s="27" t="s">
        <v>5</v>
      </c>
      <c r="G44" s="28">
        <v>463698</v>
      </c>
      <c r="H44" s="29">
        <v>546227</v>
      </c>
      <c r="I44" s="30">
        <v>463698</v>
      </c>
      <c r="J44" s="30">
        <v>60479.64</v>
      </c>
      <c r="K44" s="30">
        <v>11025</v>
      </c>
      <c r="L44" s="30">
        <v>11025</v>
      </c>
      <c r="M44" s="31">
        <v>0.64</v>
      </c>
    </row>
    <row r="48" spans="1:16" x14ac:dyDescent="0.25">
      <c r="A48" s="13"/>
      <c r="B48" s="14"/>
      <c r="C48" s="15"/>
      <c r="D48" s="16"/>
      <c r="E48" s="15"/>
      <c r="F48" s="17"/>
      <c r="G48" s="18"/>
      <c r="H48" s="19"/>
      <c r="I48" s="20"/>
      <c r="J48" s="20"/>
      <c r="K48" s="21"/>
      <c r="L48" s="21"/>
      <c r="M48" s="21"/>
    </row>
    <row r="49" spans="1:13" x14ac:dyDescent="0.25">
      <c r="A49" s="13"/>
      <c r="B49" s="14"/>
      <c r="C49" s="15"/>
      <c r="D49" s="16"/>
      <c r="E49" s="15"/>
      <c r="F49" s="17"/>
      <c r="G49" s="18"/>
      <c r="H49" s="19"/>
      <c r="I49" s="20"/>
      <c r="J49" s="20"/>
      <c r="K49" s="21"/>
      <c r="L49" s="21"/>
      <c r="M49" s="21"/>
    </row>
    <row r="50" spans="1:13" x14ac:dyDescent="0.25">
      <c r="A50" s="13"/>
      <c r="B50" s="14"/>
      <c r="C50" s="15"/>
      <c r="D50" s="16"/>
      <c r="E50" s="15"/>
      <c r="F50" s="17"/>
      <c r="G50" s="18"/>
      <c r="H50" s="19"/>
      <c r="I50" s="20"/>
      <c r="J50" s="20"/>
      <c r="K50" s="21"/>
      <c r="L50" s="21"/>
      <c r="M50" s="21"/>
    </row>
    <row r="51" spans="1:13" x14ac:dyDescent="0.25">
      <c r="A51" s="13"/>
      <c r="B51" s="14"/>
      <c r="C51" s="15"/>
      <c r="D51" s="16"/>
      <c r="E51" s="15"/>
      <c r="F51" s="17"/>
      <c r="G51" s="18"/>
      <c r="H51" s="19"/>
      <c r="I51" s="20"/>
      <c r="J51" s="20"/>
      <c r="K51" s="21"/>
      <c r="L51" s="21"/>
      <c r="M51" s="22"/>
    </row>
    <row r="52" spans="1:13" x14ac:dyDescent="0.25">
      <c r="A52" s="13"/>
      <c r="B52" s="14"/>
      <c r="C52" s="15"/>
      <c r="D52" s="16"/>
      <c r="E52" s="15"/>
      <c r="F52" s="17"/>
      <c r="G52" s="18"/>
      <c r="H52" s="19"/>
      <c r="I52" s="20"/>
      <c r="J52" s="20"/>
      <c r="K52" s="21"/>
      <c r="L52" s="21"/>
      <c r="M52" s="21"/>
    </row>
    <row r="53" spans="1:13" x14ac:dyDescent="0.25">
      <c r="A53" s="13"/>
      <c r="B53" s="14"/>
      <c r="C53" s="15"/>
      <c r="D53" s="16"/>
      <c r="E53" s="15"/>
      <c r="F53" s="17"/>
      <c r="G53" s="18"/>
      <c r="H53" s="19"/>
      <c r="I53" s="20"/>
      <c r="J53" s="20"/>
      <c r="K53" s="21"/>
      <c r="L53" s="21"/>
      <c r="M53" s="20"/>
    </row>
    <row r="54" spans="1:13" x14ac:dyDescent="0.25">
      <c r="A54" s="13"/>
      <c r="B54" s="14"/>
      <c r="C54" s="15"/>
      <c r="D54" s="16"/>
      <c r="E54" s="15"/>
      <c r="F54" s="17"/>
      <c r="G54" s="18"/>
      <c r="H54" s="19"/>
      <c r="I54" s="20"/>
      <c r="J54" s="20"/>
      <c r="K54" s="21"/>
      <c r="L54" s="21"/>
      <c r="M54" s="21"/>
    </row>
    <row r="55" spans="1:13" x14ac:dyDescent="0.25">
      <c r="A55" s="13"/>
      <c r="B55" s="14"/>
      <c r="C55" s="15"/>
      <c r="D55" s="16"/>
      <c r="E55" s="15"/>
      <c r="F55" s="17"/>
      <c r="G55" s="18"/>
      <c r="H55" s="19"/>
      <c r="I55" s="20"/>
      <c r="J55" s="20"/>
      <c r="K55" s="21"/>
      <c r="L55" s="21"/>
      <c r="M55" s="21"/>
    </row>
    <row r="56" spans="1:13" x14ac:dyDescent="0.25">
      <c r="A56" s="13"/>
      <c r="B56" s="14"/>
      <c r="C56" s="15"/>
      <c r="D56" s="16"/>
      <c r="E56" s="15"/>
      <c r="F56" s="17"/>
      <c r="G56" s="18"/>
      <c r="H56" s="19"/>
      <c r="I56" s="20"/>
      <c r="J56" s="20"/>
      <c r="K56" s="21"/>
      <c r="L56" s="21"/>
      <c r="M56" s="21"/>
    </row>
    <row r="57" spans="1:13" x14ac:dyDescent="0.25">
      <c r="A57" s="13"/>
      <c r="B57" s="14"/>
      <c r="C57" s="15"/>
      <c r="D57" s="16"/>
      <c r="E57" s="15"/>
      <c r="F57" s="17"/>
      <c r="G57" s="18"/>
      <c r="H57" s="19"/>
      <c r="I57" s="20"/>
      <c r="J57" s="20"/>
      <c r="K57" s="21"/>
      <c r="L57" s="21"/>
      <c r="M57" s="20"/>
    </row>
    <row r="58" spans="1:13" x14ac:dyDescent="0.25">
      <c r="A58" s="13"/>
      <c r="B58" s="14"/>
      <c r="C58" s="15"/>
      <c r="D58" s="16"/>
      <c r="E58" s="15"/>
      <c r="F58" s="17"/>
      <c r="G58" s="18"/>
      <c r="H58" s="19"/>
      <c r="I58" s="20"/>
      <c r="J58" s="20"/>
      <c r="K58" s="21"/>
      <c r="L58" s="21"/>
      <c r="M58" s="21"/>
    </row>
    <row r="59" spans="1:13" x14ac:dyDescent="0.25">
      <c r="A59" s="13"/>
      <c r="B59" s="14"/>
      <c r="C59" s="15"/>
      <c r="D59" s="16"/>
      <c r="E59" s="15"/>
      <c r="F59" s="17"/>
      <c r="G59" s="18"/>
      <c r="H59" s="19"/>
      <c r="I59" s="20"/>
      <c r="J59" s="20"/>
      <c r="K59" s="21"/>
      <c r="L59" s="21"/>
      <c r="M59" s="20"/>
    </row>
    <row r="60" spans="1:13" x14ac:dyDescent="0.25">
      <c r="A60" s="13"/>
      <c r="B60" s="14"/>
      <c r="C60" s="15"/>
      <c r="D60" s="16"/>
      <c r="E60" s="15"/>
      <c r="F60" s="17"/>
      <c r="G60" s="18"/>
      <c r="H60" s="19"/>
      <c r="I60" s="20"/>
      <c r="J60" s="20"/>
      <c r="K60" s="21"/>
      <c r="L60" s="21"/>
      <c r="M60" s="21"/>
    </row>
    <row r="61" spans="1:13" x14ac:dyDescent="0.25">
      <c r="A61" s="13"/>
      <c r="B61" s="14"/>
      <c r="C61" s="15"/>
      <c r="D61" s="16"/>
      <c r="E61" s="15"/>
      <c r="F61" s="17"/>
      <c r="G61" s="18"/>
      <c r="H61" s="19"/>
      <c r="I61" s="20"/>
      <c r="J61" s="20"/>
      <c r="K61" s="21"/>
      <c r="L61" s="21"/>
      <c r="M61" s="21"/>
    </row>
    <row r="62" spans="1:13" x14ac:dyDescent="0.25">
      <c r="A62" s="13"/>
      <c r="B62" s="14"/>
      <c r="C62" s="15"/>
      <c r="D62" s="16"/>
      <c r="E62" s="15"/>
      <c r="F62" s="17"/>
      <c r="G62" s="18"/>
      <c r="H62" s="19"/>
      <c r="I62" s="20"/>
      <c r="J62" s="20"/>
      <c r="K62" s="21"/>
      <c r="L62" s="21"/>
      <c r="M62" s="21"/>
    </row>
    <row r="63" spans="1:13" x14ac:dyDescent="0.25">
      <c r="A63" s="13"/>
      <c r="B63" s="14"/>
      <c r="C63" s="15"/>
      <c r="D63" s="16"/>
      <c r="E63" s="15"/>
      <c r="F63" s="17"/>
      <c r="G63" s="18"/>
      <c r="H63" s="19"/>
      <c r="I63" s="20"/>
      <c r="J63" s="20"/>
      <c r="K63" s="21"/>
      <c r="L63" s="21"/>
      <c r="M63" s="20"/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admin</cp:lastModifiedBy>
  <dcterms:created xsi:type="dcterms:W3CDTF">2025-10-01T09:47:18Z</dcterms:created>
  <dcterms:modified xsi:type="dcterms:W3CDTF">2026-02-02T15:00:26Z</dcterms:modified>
</cp:coreProperties>
</file>